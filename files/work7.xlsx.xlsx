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141AD6D-3A9A-482C-8191-222B8397BE14}" xr6:coauthVersionLast="47" xr6:coauthVersionMax="47" xr10:uidLastSave="{00000000-0000-0000-0000-000000000000}"/>
  <bookViews>
    <workbookView xWindow="-120" yWindow="-120" windowWidth="20730" windowHeight="11160" firstSheet="4" activeTab="8" xr2:uid="{00000000-000D-0000-FFFF-FFFF00000000}"/>
  </bookViews>
  <sheets>
    <sheet name="غلاف" sheetId="1" r:id="rId1"/>
    <sheet name="بيانات الشركة" sheetId="2" r:id="rId2"/>
    <sheet name="القيود اليومية" sheetId="3" r:id="rId3"/>
    <sheet name="قائمة الدخل" sheetId="4" r:id="rId4"/>
    <sheet name="قائمة المركز المالي" sheetId="5" r:id="rId5"/>
    <sheet name="التدفقات النقدية" sheetId="6" r:id="rId6"/>
    <sheet name="التغيرات في حقوق الملكية" sheetId="7" r:id="rId7"/>
    <sheet name="التحليل المالي" sheetId="8" r:id="rId8"/>
    <sheet name="Dashboard" sheetId="9" r:id="rId9"/>
  </sheets>
  <calcPr calcId="0"/>
</workbook>
</file>

<file path=xl/sharedStrings.xml><?xml version="1.0" encoding="utf-8"?>
<sst xmlns="http://schemas.openxmlformats.org/spreadsheetml/2006/main" count="211" uniqueCount="167">
  <si>
    <t>شركة الأفق للتجارة والتوريدات</t>
  </si>
  <si>
    <t>مكونات الملف</t>
  </si>
  <si>
    <t>1. بيانات الشركة</t>
  </si>
  <si>
    <t>2. القيود اليومية</t>
  </si>
  <si>
    <t>3. قائمة الدخل</t>
  </si>
  <si>
    <t>4. قائمة المركز المالي</t>
  </si>
  <si>
    <t>5. قائمة التدفقات النقدية</t>
  </si>
  <si>
    <t>6. التغيرات في حقوق الملكية</t>
  </si>
  <si>
    <t>7. التحليل المالي</t>
  </si>
  <si>
    <t>8. Dashboard</t>
  </si>
  <si>
    <t>البند</t>
  </si>
  <si>
    <t>البيانات</t>
  </si>
  <si>
    <t>اسم الشركة</t>
  </si>
  <si>
    <t>النشاط</t>
  </si>
  <si>
    <t>تجارة الأجهزة الإلكترونية ومستلزماتها</t>
  </si>
  <si>
    <t>طبيعة الشركة</t>
  </si>
  <si>
    <t>شركة تجارية افتراضية</t>
  </si>
  <si>
    <t>الموقع</t>
  </si>
  <si>
    <t>عمّان – الأردن</t>
  </si>
  <si>
    <t>العملة</t>
  </si>
  <si>
    <t>الدينار الأردني</t>
  </si>
  <si>
    <t>الفترة المالية</t>
  </si>
  <si>
    <t>2024–2025</t>
  </si>
  <si>
    <t>رأس المال</t>
  </si>
  <si>
    <t>120,000</t>
  </si>
  <si>
    <t>ملاحظة</t>
  </si>
  <si>
    <t>البيانات افتراضية ومعدة لأغراض العرض والتدريب.</t>
  </si>
  <si>
    <t>التاريخ</t>
  </si>
  <si>
    <t>البيان</t>
  </si>
  <si>
    <t>الحساب المدين</t>
  </si>
  <si>
    <t>مدين</t>
  </si>
  <si>
    <t>الحساب الدائن</t>
  </si>
  <si>
    <t>دائن</t>
  </si>
  <si>
    <t>2025-01-01</t>
  </si>
  <si>
    <t>إثبات رأس المال</t>
  </si>
  <si>
    <t>من حـ/ البنك</t>
  </si>
  <si>
    <t>إلى حـ/ رأس المال</t>
  </si>
  <si>
    <t>2025-01-05</t>
  </si>
  <si>
    <t>شراء بضاعة نقدًا</t>
  </si>
  <si>
    <t>من حـ/ المخزون</t>
  </si>
  <si>
    <t>إلى حـ/ البنك</t>
  </si>
  <si>
    <t>2025-01-12</t>
  </si>
  <si>
    <t>شراء بضاعة بالأجل</t>
  </si>
  <si>
    <t>إلى حـ/ الموردين</t>
  </si>
  <si>
    <t>2025-01-20</t>
  </si>
  <si>
    <t>بيع نقدي</t>
  </si>
  <si>
    <t>إلى حـ/ المبيعات</t>
  </si>
  <si>
    <t>إثبات تكلفة البيع</t>
  </si>
  <si>
    <t>من حـ/ تكلفة المبيعات</t>
  </si>
  <si>
    <t>إلى حـ/ المخزون</t>
  </si>
  <si>
    <t>2025-02-03</t>
  </si>
  <si>
    <t>بيع آجل</t>
  </si>
  <si>
    <t>من حـ/ العملاء</t>
  </si>
  <si>
    <t>إثبات تكلفة البيع الآجل</t>
  </si>
  <si>
    <t>2025-02-15</t>
  </si>
  <si>
    <t>تحصيل من العملاء</t>
  </si>
  <si>
    <t>إلى حـ/ العملاء</t>
  </si>
  <si>
    <t>2025-03-01</t>
  </si>
  <si>
    <t>سداد جزء من الموردين</t>
  </si>
  <si>
    <t>من حـ/ الموردين</t>
  </si>
  <si>
    <t>2025-03-10</t>
  </si>
  <si>
    <t>دفع إيجار</t>
  </si>
  <si>
    <t>من حـ/ مصروف الإيجار</t>
  </si>
  <si>
    <t>2025-03-20</t>
  </si>
  <si>
    <t>دفع رواتب</t>
  </si>
  <si>
    <t>من حـ/ مصروف الرواتب</t>
  </si>
  <si>
    <t>2025-04-05</t>
  </si>
  <si>
    <t>شراء معدات</t>
  </si>
  <si>
    <t>من حـ/ المعدات</t>
  </si>
  <si>
    <t>2025-04-20</t>
  </si>
  <si>
    <t>الحصول على قرض بنكي</t>
  </si>
  <si>
    <t>إلى حـ/ قرض بنكي</t>
  </si>
  <si>
    <t>2025-05-10</t>
  </si>
  <si>
    <t>مصروفات تشغيلية</t>
  </si>
  <si>
    <t>من حـ/ مصروفات تشغيلية</t>
  </si>
  <si>
    <t>2025-06-15</t>
  </si>
  <si>
    <t>مردودات مبيعات</t>
  </si>
  <si>
    <t>من حـ/ مردودات المبيعات</t>
  </si>
  <si>
    <t>2025-07-01</t>
  </si>
  <si>
    <t>2025-08-10</t>
  </si>
  <si>
    <t>سداد قرض</t>
  </si>
  <si>
    <t>من حـ/ قرض بنكي</t>
  </si>
  <si>
    <t>2025-09-05</t>
  </si>
  <si>
    <t>فوائد قرض</t>
  </si>
  <si>
    <t>من حـ/ مصروف فوائد</t>
  </si>
  <si>
    <t>2025-10-15</t>
  </si>
  <si>
    <t>دفع كهرباء واتصالات</t>
  </si>
  <si>
    <t>2025-11-01</t>
  </si>
  <si>
    <t>2025-11-20</t>
  </si>
  <si>
    <t>2025-12-01</t>
  </si>
  <si>
    <t>مصروفات مستحقة</t>
  </si>
  <si>
    <t>إلى حـ/ مصروفات مستحقة</t>
  </si>
  <si>
    <t>2025-12-31</t>
  </si>
  <si>
    <t>إهلاك السنة</t>
  </si>
  <si>
    <t>من حـ/ مصروف الإهلاك</t>
  </si>
  <si>
    <t>إلى حـ/ مجمع الإهلاك</t>
  </si>
  <si>
    <t>ضريبة الدخل المستحقة</t>
  </si>
  <si>
    <t>من حـ/ مصروف ضريبة الدخل</t>
  </si>
  <si>
    <t>إلى حـ/ ضريبة الدخل المستحقة</t>
  </si>
  <si>
    <t>قائمة الدخل</t>
  </si>
  <si>
    <t>المبيعات</t>
  </si>
  <si>
    <t>تكلفة المبيعات</t>
  </si>
  <si>
    <t>مجمل الربح</t>
  </si>
  <si>
    <t>المصروفات التشغيلية</t>
  </si>
  <si>
    <t>الربح التشغيلي</t>
  </si>
  <si>
    <t>تكاليف التمويل</t>
  </si>
  <si>
    <t>الربح قبل الضريبة</t>
  </si>
  <si>
    <t>ضريبة الدخل</t>
  </si>
  <si>
    <t>صافي الربح</t>
  </si>
  <si>
    <t>قائمة المركز المالي</t>
  </si>
  <si>
    <t>النقدية والبنوك</t>
  </si>
  <si>
    <t>الذمم المدينة</t>
  </si>
  <si>
    <t>المخزون</t>
  </si>
  <si>
    <t>المصروفات المقدمة</t>
  </si>
  <si>
    <t>الممتلكات والمعدات</t>
  </si>
  <si>
    <t>إجمالي الأصول</t>
  </si>
  <si>
    <t>الذمم الدائنة</t>
  </si>
  <si>
    <t>المصروفات المستحقة</t>
  </si>
  <si>
    <t>القروض</t>
  </si>
  <si>
    <t>إجمالي الخصوم</t>
  </si>
  <si>
    <t>الأرباح المحتجزة</t>
  </si>
  <si>
    <t>إجمالي حقوق الملكية</t>
  </si>
  <si>
    <t>إجمالي الخصوم وحقوق الملكية</t>
  </si>
  <si>
    <t>قائمة التدفقات النقدية</t>
  </si>
  <si>
    <t>التدفقات من الأنشطة التشغيلية</t>
  </si>
  <si>
    <t>التدفقات من الأنشطة الاستثمارية</t>
  </si>
  <si>
    <t>التدفقات من الأنشطة التمويلية</t>
  </si>
  <si>
    <t>صافي التغير في النقد</t>
  </si>
  <si>
    <t>النقد أول الفترة</t>
  </si>
  <si>
    <t>النقد آخر الفترة</t>
  </si>
  <si>
    <t>قائمة التغيرات في حقوق الملكية</t>
  </si>
  <si>
    <t>رأس المال أول الفترة</t>
  </si>
  <si>
    <t>توزيعات الأرباح</t>
  </si>
  <si>
    <t>رأس المال آخر الفترة</t>
  </si>
  <si>
    <t>الأرباح المحتجزة آخر الفترة</t>
  </si>
  <si>
    <t>المؤشر</t>
  </si>
  <si>
    <t>2024</t>
  </si>
  <si>
    <t>2025</t>
  </si>
  <si>
    <t>التفسير</t>
  </si>
  <si>
    <t>نسبة التداول</t>
  </si>
  <si>
    <t>تقيس قدرة الأصول المتداولة على تغطية الالتزامات المتداولة.</t>
  </si>
  <si>
    <t>نسبة التداول السريع</t>
  </si>
  <si>
    <t>تقيس السيولة دون الاعتماد على بيع المخزون.</t>
  </si>
  <si>
    <t>هامش مجمل الربح</t>
  </si>
  <si>
    <t>كلما ارتفع الهامش تحسن ما يتبقى من المبيعات بعد تكلفة المبيعات.</t>
  </si>
  <si>
    <t>هامش صافي الربح</t>
  </si>
  <si>
    <t>يبين نسبة صافي الربح المتحقق من كل دينار مبيعات.</t>
  </si>
  <si>
    <t>العائد على الأصول</t>
  </si>
  <si>
    <t>يقيس كفاءة استخدام الأصول في توليد الأرباح.</t>
  </si>
  <si>
    <t>العائد على حقوق الملكية</t>
  </si>
  <si>
    <t>يقيس العائد المحقق على أموال الملاك.</t>
  </si>
  <si>
    <t>نسبة المديونية</t>
  </si>
  <si>
    <t>توضح نسبة تمويل الأصول بالالتزامات.</t>
  </si>
  <si>
    <t>الدين إلى حقوق الملكية</t>
  </si>
  <si>
    <t>تقارن التمويل بالديون بتمويل الملاك.</t>
  </si>
  <si>
    <t>لوحة مؤشرات الأداء المالي – شركة الأفق</t>
  </si>
  <si>
    <t>الإيرادات 2025</t>
  </si>
  <si>
    <t>صافي الربح 2025</t>
  </si>
  <si>
    <t>الأصول 2025</t>
  </si>
  <si>
    <t>التدفق التشغيلي 2025</t>
  </si>
  <si>
    <t>الإيرادات</t>
  </si>
  <si>
    <t>التدفقات النقدية</t>
  </si>
  <si>
    <t>تشغيلية</t>
  </si>
  <si>
    <t>استثمارية</t>
  </si>
  <si>
    <t>تمويلية</t>
  </si>
  <si>
    <t>إعداد وتحليل القوائم المالية – للفترة 2024–2025</t>
  </si>
  <si>
    <t>تم الإعداد من قبل: سند للمحاسبة والاستشارات المالية والإدارية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</si>
</sst>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23" x14ac:knownFonts="1">
    <font>
      <sz val="11"/>
      <color theme="1"/>
      <name val="Arial"/>
      <family val="2"/>
      <scheme val="minor"/>
    </font>
    <font>
      <b/>
      <sz val="22"/>
      <color rgb="FFFFFFFF"/>
      <name val="Arial"/>
    </font>
    <font>
      <b/>
      <sz val="14"/>
      <color rgb="FF17365D"/>
      <name val="Arial"/>
    </font>
    <font>
      <b/>
      <sz val="11"/>
      <color rgb="FFFFFFFF"/>
      <name val="Arial"/>
    </font>
    <font>
      <b/>
      <sz val="11"/>
      <name val="Arial"/>
    </font>
    <font>
      <b/>
      <sz val="20"/>
      <color rgb="FFFFFFFF"/>
      <name val="Arial"/>
    </font>
    <font>
      <sz val="11"/>
      <color theme="1"/>
      <name val="Arial"/>
      <family val="2"/>
      <scheme val="minor"/>
    </font>
    <font>
      <b/>
      <sz val="18"/>
      <color rgb="FF17365D"/>
      <name val="Arial"/>
    </font>
    <font>
      <b/>
      <sz val="12"/>
      <color rgb="FFFFFFFF"/>
      <name val="Arial"/>
    </font>
    <font>
      <sz val="14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theme="3" tint="-0.499984740745262"/>
      <name val="Arial"/>
      <family val="2"/>
      <scheme val="minor"/>
    </font>
    <font>
      <b/>
      <sz val="14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theme="3" tint="-0.499984740745262"/>
      <name val="Arial"/>
      <family val="2"/>
    </font>
    <font>
      <b/>
      <sz val="16"/>
      <color rgb="FF17365D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color rgb="FFFFFFFF"/>
      <name val="Arial"/>
      <family val="2"/>
    </font>
    <font>
      <b/>
      <sz val="18"/>
      <name val="Arial"/>
      <family val="2"/>
    </font>
    <font>
      <sz val="14"/>
      <color theme="3" tint="-0.499984740745262"/>
      <name val="Arial"/>
      <family val="2"/>
      <scheme val="minor"/>
    </font>
    <font>
      <b/>
      <sz val="20"/>
      <color theme="3" tint="-0.499984740745262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1E8"/>
      </patternFill>
    </fill>
    <fill>
      <patternFill patternType="solid">
        <fgColor rgb="FFC9A227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9A2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right" vertical="center" wrapText="1" readingOrder="2"/>
    </xf>
    <xf numFmtId="0" fontId="15" fillId="5" borderId="2" xfId="0" applyFont="1" applyFill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 wrapText="1"/>
    </xf>
    <xf numFmtId="4" fontId="17" fillId="3" borderId="2" xfId="0" applyNumberFormat="1" applyFont="1" applyFill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 vertical="center" wrapText="1"/>
    </xf>
    <xf numFmtId="4" fontId="18" fillId="3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4" fontId="11" fillId="0" borderId="2" xfId="0" applyNumberFormat="1" applyFont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4" fontId="20" fillId="3" borderId="2" xfId="0" applyNumberFormat="1" applyFont="1" applyFill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10" fontId="10" fillId="0" borderId="2" xfId="0" applyNumberFormat="1" applyFont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</cellXfs>
  <cellStyles count="1">
    <cellStyle name="عادي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الإيرادات وصافي الربح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numRef>
              <c:f>Dashboard!$B$9:$C$9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Dashboard!$B$10:$C$10</c:f>
              <c:numCache>
                <c:formatCode>General</c:formatCode>
                <c:ptCount val="2"/>
                <c:pt idx="0">
                  <c:v>420000</c:v>
                </c:pt>
                <c:pt idx="1">
                  <c:v>510000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E-48CB-AEED-506429E3D927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numRef>
              <c:f>Dashboard!$B$9:$C$9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Dashboard!$B$11:$C$11</c:f>
              <c:numCache>
                <c:formatCode>General</c:formatCode>
                <c:ptCount val="2"/>
                <c:pt idx="0">
                  <c:v>28800</c:v>
                </c:pt>
                <c:pt idx="1">
                  <c:v>48240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E-48CB-AEED-506429E3D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السنة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دينار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التدفقات النقدية حسب النشاط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numRef>
              <c:f>Dashboard!$B$28:$C$28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Dashboard!$B$29:$C$29</c:f>
              <c:numCache>
                <c:formatCode>General</c:formatCode>
                <c:ptCount val="2"/>
                <c:pt idx="0">
                  <c:v>54000</c:v>
                </c:pt>
                <c:pt idx="1">
                  <c:v>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4-4D47-863F-D6BEF64491C2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numRef>
              <c:f>Dashboard!$B$28:$C$28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Dashboard!$B$30:$C$30</c:f>
              <c:numCache>
                <c:formatCode>General</c:formatCode>
                <c:ptCount val="2"/>
                <c:pt idx="0">
                  <c:v>-36000</c:v>
                </c:pt>
                <c:pt idx="1">
                  <c:v>-30000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54-4D47-863F-D6BEF64491C2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numRef>
              <c:f>Dashboard!$B$28:$C$28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Dashboard!$B$31:$C$31</c:f>
              <c:numCache>
                <c:formatCode>General</c:formatCode>
                <c:ptCount val="2"/>
                <c:pt idx="0">
                  <c:v>-18000</c:v>
                </c:pt>
                <c:pt idx="1">
                  <c:v>-30000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54-4D47-863F-D6BEF6449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47624</xdr:colOff>
      <xdr:row>10</xdr:row>
      <xdr:rowOff>57150</xdr:rowOff>
    </xdr:from>
    <xdr:to>
      <xdr:col>7</xdr:col>
      <xdr:colOff>1197172</xdr:colOff>
      <xdr:row>17</xdr:row>
      <xdr:rowOff>209550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1C4EA56C-37FF-EA42-56F4-0F856E8FF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0682828" y="1990725"/>
          <a:ext cx="3587948" cy="1952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12</xdr:row>
      <xdr:rowOff>0</xdr:rowOff>
    </xdr:from>
    <xdr:ext cx="4733925" cy="243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urnalTable" displayName="JournalTable" ref="A1:F26" dataDxfId="0">
  <autoFilter ref="A1:F26" xr:uid="{00000000-0009-0000-0100-000001000000}"/>
  <tableColumns count="6">
    <tableColumn id="1" xr3:uid="{00000000-0010-0000-0000-000001000000}" name="التاريخ" dataDxfId="6"/>
    <tableColumn id="2" xr3:uid="{00000000-0010-0000-0000-000002000000}" name="البيان" dataDxfId="5"/>
    <tableColumn id="3" xr3:uid="{00000000-0010-0000-0000-000003000000}" name="الحساب المدين" dataDxfId="4"/>
    <tableColumn id="4" xr3:uid="{00000000-0010-0000-0000-000004000000}" name="مدين" dataDxfId="3"/>
    <tableColumn id="5" xr3:uid="{00000000-0010-0000-0000-000005000000}" name="الحساب الدائن" dataDxfId="2"/>
    <tableColumn id="6" xr3:uid="{00000000-0010-0000-0000-000006000000}" name="دائن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rightToLeft="1" workbookViewId="0">
      <pane ySplit="1" topLeftCell="A2" activePane="bottomLeft" state="frozen"/>
      <selection pane="bottomLeft" activeCell="E15" sqref="E15"/>
    </sheetView>
  </sheetViews>
  <sheetFormatPr defaultRowHeight="14.25" x14ac:dyDescent="0.2"/>
  <cols>
    <col min="1" max="1" width="3" customWidth="1"/>
    <col min="2" max="2" width="28" customWidth="1"/>
    <col min="3" max="8" width="16" customWidth="1"/>
  </cols>
  <sheetData>
    <row r="1" spans="1:8" x14ac:dyDescent="0.2">
      <c r="A1" s="1"/>
      <c r="B1" s="1"/>
      <c r="C1" s="1"/>
      <c r="D1" s="1"/>
      <c r="E1" s="1"/>
      <c r="F1" s="1"/>
      <c r="G1" s="1"/>
      <c r="H1" s="1"/>
    </row>
    <row r="2" spans="1:8" x14ac:dyDescent="0.2">
      <c r="A2" s="1"/>
      <c r="B2" s="6" t="s">
        <v>0</v>
      </c>
      <c r="C2" s="5"/>
      <c r="D2" s="5"/>
      <c r="E2" s="5"/>
      <c r="F2" s="5"/>
      <c r="G2" s="5"/>
      <c r="H2" s="5"/>
    </row>
    <row r="3" spans="1:8" x14ac:dyDescent="0.2">
      <c r="A3" s="1"/>
      <c r="B3" s="5"/>
      <c r="C3" s="5"/>
      <c r="D3" s="5"/>
      <c r="E3" s="5"/>
      <c r="F3" s="5"/>
      <c r="G3" s="5"/>
      <c r="H3" s="5"/>
    </row>
    <row r="4" spans="1:8" ht="18" x14ac:dyDescent="0.2">
      <c r="A4" s="1"/>
      <c r="B4" s="4"/>
      <c r="C4" s="5"/>
      <c r="D4" s="5"/>
      <c r="E4" s="5"/>
      <c r="F4" s="5"/>
      <c r="G4" s="5"/>
      <c r="H4" s="5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1"/>
      <c r="B6" s="9" t="s">
        <v>165</v>
      </c>
      <c r="C6" s="10"/>
      <c r="D6" s="10"/>
      <c r="E6" s="10"/>
      <c r="F6" s="10"/>
      <c r="G6" s="10"/>
      <c r="H6" s="10"/>
    </row>
    <row r="7" spans="1:8" x14ac:dyDescent="0.2">
      <c r="A7" s="1"/>
      <c r="B7" s="10"/>
      <c r="C7" s="10"/>
      <c r="D7" s="10"/>
      <c r="E7" s="10"/>
      <c r="F7" s="10"/>
      <c r="G7" s="10"/>
      <c r="H7" s="10"/>
    </row>
    <row r="8" spans="1:8" x14ac:dyDescent="0.2">
      <c r="A8" s="1"/>
      <c r="B8" s="10"/>
      <c r="C8" s="10"/>
      <c r="D8" s="10"/>
      <c r="E8" s="10"/>
      <c r="F8" s="10"/>
      <c r="G8" s="10"/>
      <c r="H8" s="10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ht="20.25" x14ac:dyDescent="0.2">
      <c r="A10" s="1"/>
      <c r="B10" s="17" t="s">
        <v>1</v>
      </c>
      <c r="C10" s="1"/>
      <c r="D10" s="1"/>
      <c r="E10" s="1"/>
      <c r="F10" s="1"/>
      <c r="G10" s="1"/>
      <c r="H10" s="1"/>
    </row>
    <row r="11" spans="1:8" ht="20.25" x14ac:dyDescent="0.2">
      <c r="A11" s="1"/>
      <c r="B11" s="16" t="s">
        <v>2</v>
      </c>
      <c r="C11" s="1"/>
      <c r="D11" s="1"/>
      <c r="E11" s="1"/>
      <c r="F11" s="42" t="s">
        <v>166</v>
      </c>
      <c r="G11" s="8"/>
      <c r="H11" s="8"/>
    </row>
    <row r="12" spans="1:8" ht="20.25" x14ac:dyDescent="0.2">
      <c r="A12" s="1"/>
      <c r="B12" s="16" t="s">
        <v>3</v>
      </c>
      <c r="C12" s="1"/>
      <c r="D12" s="1"/>
      <c r="E12" s="1"/>
      <c r="F12" s="8"/>
      <c r="G12" s="8"/>
      <c r="H12" s="8"/>
    </row>
    <row r="13" spans="1:8" ht="20.25" x14ac:dyDescent="0.2">
      <c r="A13" s="1"/>
      <c r="B13" s="16" t="s">
        <v>4</v>
      </c>
      <c r="C13" s="1"/>
      <c r="D13" s="1"/>
      <c r="E13" s="1"/>
      <c r="F13" s="8"/>
      <c r="G13" s="8"/>
      <c r="H13" s="8"/>
    </row>
    <row r="14" spans="1:8" ht="20.25" x14ac:dyDescent="0.2">
      <c r="A14" s="1"/>
      <c r="B14" s="16" t="s">
        <v>5</v>
      </c>
      <c r="C14" s="1"/>
      <c r="D14" s="1"/>
      <c r="E14" s="1"/>
      <c r="F14" s="8"/>
      <c r="G14" s="8"/>
      <c r="H14" s="8"/>
    </row>
    <row r="15" spans="1:8" ht="20.25" x14ac:dyDescent="0.2">
      <c r="A15" s="1"/>
      <c r="B15" s="16" t="s">
        <v>6</v>
      </c>
      <c r="C15" s="1"/>
      <c r="D15" s="1"/>
      <c r="E15" s="1"/>
      <c r="F15" s="8"/>
      <c r="G15" s="8"/>
      <c r="H15" s="8"/>
    </row>
    <row r="16" spans="1:8" ht="20.25" x14ac:dyDescent="0.2">
      <c r="A16" s="1"/>
      <c r="B16" s="16" t="s">
        <v>7</v>
      </c>
      <c r="C16" s="1"/>
      <c r="D16" s="1"/>
      <c r="E16" s="1"/>
      <c r="F16" s="8"/>
      <c r="G16" s="8"/>
      <c r="H16" s="8"/>
    </row>
    <row r="17" spans="1:8" ht="20.25" x14ac:dyDescent="0.2">
      <c r="A17" s="1"/>
      <c r="B17" s="16" t="s">
        <v>8</v>
      </c>
      <c r="C17" s="1"/>
      <c r="D17" s="1"/>
      <c r="E17" s="1"/>
      <c r="F17" s="8"/>
      <c r="G17" s="8"/>
      <c r="H17" s="8"/>
    </row>
    <row r="18" spans="1:8" ht="20.25" x14ac:dyDescent="0.2">
      <c r="A18" s="1"/>
      <c r="B18" s="16" t="s">
        <v>9</v>
      </c>
      <c r="C18" s="1"/>
      <c r="D18" s="1"/>
      <c r="E18" s="1"/>
      <c r="F18" s="8"/>
      <c r="G18" s="8"/>
      <c r="H18" s="8"/>
    </row>
  </sheetData>
  <sheetProtection algorithmName="SHA-512" hashValue="8+pCkwIiVW7jqU9XjqOHr5MqviV3vaal2GTY9BmHIE7FDrJN1iSD6LQHaGelbsmrAqNhC3f4AbS5wyflFDrG8Q==" saltValue="1PBdyYoMhAsjlRzrntEB4A==" spinCount="100000" sheet="1" objects="1" scenarios="1"/>
  <mergeCells count="4">
    <mergeCell ref="B4:H4"/>
    <mergeCell ref="B6:H8"/>
    <mergeCell ref="B2:H3"/>
    <mergeCell ref="F11:H1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rightToLeft="1" workbookViewId="0">
      <pane ySplit="1" topLeftCell="A2" activePane="bottomLeft" state="frozen"/>
      <selection pane="bottomLeft" activeCell="B16" sqref="B16"/>
    </sheetView>
  </sheetViews>
  <sheetFormatPr defaultRowHeight="14.25" x14ac:dyDescent="0.2"/>
  <cols>
    <col min="1" max="1" width="25" customWidth="1"/>
    <col min="2" max="2" width="70" customWidth="1"/>
  </cols>
  <sheetData>
    <row r="1" spans="1:2" ht="20.25" x14ac:dyDescent="0.2">
      <c r="A1" s="12" t="s">
        <v>10</v>
      </c>
      <c r="B1" s="12" t="s">
        <v>11</v>
      </c>
    </row>
    <row r="2" spans="1:2" ht="20.25" x14ac:dyDescent="0.2">
      <c r="A2" s="15" t="s">
        <v>12</v>
      </c>
      <c r="B2" s="14" t="s">
        <v>0</v>
      </c>
    </row>
    <row r="3" spans="1:2" ht="20.25" x14ac:dyDescent="0.2">
      <c r="A3" s="15" t="s">
        <v>13</v>
      </c>
      <c r="B3" s="14" t="s">
        <v>14</v>
      </c>
    </row>
    <row r="4" spans="1:2" ht="20.25" x14ac:dyDescent="0.2">
      <c r="A4" s="15" t="s">
        <v>15</v>
      </c>
      <c r="B4" s="14" t="s">
        <v>16</v>
      </c>
    </row>
    <row r="5" spans="1:2" ht="20.25" x14ac:dyDescent="0.2">
      <c r="A5" s="15" t="s">
        <v>17</v>
      </c>
      <c r="B5" s="14" t="s">
        <v>18</v>
      </c>
    </row>
    <row r="6" spans="1:2" ht="20.25" x14ac:dyDescent="0.2">
      <c r="A6" s="15" t="s">
        <v>19</v>
      </c>
      <c r="B6" s="14" t="s">
        <v>20</v>
      </c>
    </row>
    <row r="7" spans="1:2" ht="20.25" x14ac:dyDescent="0.2">
      <c r="A7" s="15" t="s">
        <v>21</v>
      </c>
      <c r="B7" s="14" t="s">
        <v>22</v>
      </c>
    </row>
    <row r="8" spans="1:2" ht="20.25" x14ac:dyDescent="0.2">
      <c r="A8" s="15" t="s">
        <v>23</v>
      </c>
      <c r="B8" s="14" t="s">
        <v>24</v>
      </c>
    </row>
    <row r="9" spans="1:2" ht="20.25" x14ac:dyDescent="0.2">
      <c r="A9" s="15" t="s">
        <v>25</v>
      </c>
      <c r="B9" s="14" t="s">
        <v>26</v>
      </c>
    </row>
  </sheetData>
  <sheetProtection algorithmName="SHA-512" hashValue="+m1RwIoGgvlKPpy/7l5twhBePDbmxZxao/tb4UeoPeDDKDqfRkYL6RFOO2WYdaXNuHzUlf2QIisyxHCQXZ52tA==" saltValue="zc01cy3ADrSNj4AFp3c+wg==" spinCount="100000" sheet="1" objects="1" scenarios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4" customWidth="1"/>
    <col min="2" max="2" width="28" customWidth="1"/>
    <col min="3" max="3" width="25" customWidth="1"/>
    <col min="4" max="4" width="15" customWidth="1"/>
    <col min="5" max="5" width="25" customWidth="1"/>
    <col min="6" max="6" width="15" customWidth="1"/>
  </cols>
  <sheetData>
    <row r="1" spans="1:6" ht="15" x14ac:dyDescent="0.2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 x14ac:dyDescent="0.2">
      <c r="A2" s="18" t="s">
        <v>33</v>
      </c>
      <c r="B2" s="18" t="s">
        <v>34</v>
      </c>
      <c r="C2" s="18" t="s">
        <v>35</v>
      </c>
      <c r="D2" s="19">
        <v>120000</v>
      </c>
      <c r="E2" s="18" t="s">
        <v>36</v>
      </c>
      <c r="F2" s="19">
        <v>120000</v>
      </c>
    </row>
    <row r="3" spans="1:6" x14ac:dyDescent="0.2">
      <c r="A3" s="18" t="s">
        <v>37</v>
      </c>
      <c r="B3" s="18" t="s">
        <v>38</v>
      </c>
      <c r="C3" s="18" t="s">
        <v>39</v>
      </c>
      <c r="D3" s="19">
        <v>50000</v>
      </c>
      <c r="E3" s="18" t="s">
        <v>40</v>
      </c>
      <c r="F3" s="19">
        <v>50000</v>
      </c>
    </row>
    <row r="4" spans="1:6" x14ac:dyDescent="0.2">
      <c r="A4" s="18" t="s">
        <v>41</v>
      </c>
      <c r="B4" s="18" t="s">
        <v>42</v>
      </c>
      <c r="C4" s="18" t="s">
        <v>39</v>
      </c>
      <c r="D4" s="19">
        <v>90000</v>
      </c>
      <c r="E4" s="18" t="s">
        <v>43</v>
      </c>
      <c r="F4" s="19">
        <v>90000</v>
      </c>
    </row>
    <row r="5" spans="1:6" x14ac:dyDescent="0.2">
      <c r="A5" s="18" t="s">
        <v>44</v>
      </c>
      <c r="B5" s="18" t="s">
        <v>45</v>
      </c>
      <c r="C5" s="18" t="s">
        <v>35</v>
      </c>
      <c r="D5" s="19">
        <v>70000</v>
      </c>
      <c r="E5" s="18" t="s">
        <v>46</v>
      </c>
      <c r="F5" s="19">
        <v>70000</v>
      </c>
    </row>
    <row r="6" spans="1:6" x14ac:dyDescent="0.2">
      <c r="A6" s="18" t="s">
        <v>44</v>
      </c>
      <c r="B6" s="18" t="s">
        <v>47</v>
      </c>
      <c r="C6" s="18" t="s">
        <v>48</v>
      </c>
      <c r="D6" s="19">
        <v>45500</v>
      </c>
      <c r="E6" s="18" t="s">
        <v>49</v>
      </c>
      <c r="F6" s="19">
        <v>45500</v>
      </c>
    </row>
    <row r="7" spans="1:6" x14ac:dyDescent="0.2">
      <c r="A7" s="18" t="s">
        <v>50</v>
      </c>
      <c r="B7" s="18" t="s">
        <v>51</v>
      </c>
      <c r="C7" s="18" t="s">
        <v>52</v>
      </c>
      <c r="D7" s="19">
        <v>60000</v>
      </c>
      <c r="E7" s="18" t="s">
        <v>46</v>
      </c>
      <c r="F7" s="19">
        <v>60000</v>
      </c>
    </row>
    <row r="8" spans="1:6" x14ac:dyDescent="0.2">
      <c r="A8" s="18" t="s">
        <v>50</v>
      </c>
      <c r="B8" s="18" t="s">
        <v>53</v>
      </c>
      <c r="C8" s="18" t="s">
        <v>48</v>
      </c>
      <c r="D8" s="19">
        <v>39000</v>
      </c>
      <c r="E8" s="18" t="s">
        <v>49</v>
      </c>
      <c r="F8" s="19">
        <v>39000</v>
      </c>
    </row>
    <row r="9" spans="1:6" x14ac:dyDescent="0.2">
      <c r="A9" s="18" t="s">
        <v>54</v>
      </c>
      <c r="B9" s="18" t="s">
        <v>55</v>
      </c>
      <c r="C9" s="18" t="s">
        <v>35</v>
      </c>
      <c r="D9" s="19">
        <v>35000</v>
      </c>
      <c r="E9" s="18" t="s">
        <v>56</v>
      </c>
      <c r="F9" s="19">
        <v>35000</v>
      </c>
    </row>
    <row r="10" spans="1:6" x14ac:dyDescent="0.2">
      <c r="A10" s="18" t="s">
        <v>57</v>
      </c>
      <c r="B10" s="18" t="s">
        <v>58</v>
      </c>
      <c r="C10" s="18" t="s">
        <v>59</v>
      </c>
      <c r="D10" s="19">
        <v>30000</v>
      </c>
      <c r="E10" s="18" t="s">
        <v>40</v>
      </c>
      <c r="F10" s="19">
        <v>30000</v>
      </c>
    </row>
    <row r="11" spans="1:6" x14ac:dyDescent="0.2">
      <c r="A11" s="18" t="s">
        <v>60</v>
      </c>
      <c r="B11" s="18" t="s">
        <v>61</v>
      </c>
      <c r="C11" s="18" t="s">
        <v>62</v>
      </c>
      <c r="D11" s="19">
        <v>12000</v>
      </c>
      <c r="E11" s="18" t="s">
        <v>40</v>
      </c>
      <c r="F11" s="19">
        <v>12000</v>
      </c>
    </row>
    <row r="12" spans="1:6" x14ac:dyDescent="0.2">
      <c r="A12" s="18" t="s">
        <v>63</v>
      </c>
      <c r="B12" s="18" t="s">
        <v>64</v>
      </c>
      <c r="C12" s="18" t="s">
        <v>65</v>
      </c>
      <c r="D12" s="19">
        <v>18000</v>
      </c>
      <c r="E12" s="18" t="s">
        <v>40</v>
      </c>
      <c r="F12" s="19">
        <v>18000</v>
      </c>
    </row>
    <row r="13" spans="1:6" x14ac:dyDescent="0.2">
      <c r="A13" s="18" t="s">
        <v>66</v>
      </c>
      <c r="B13" s="18" t="s">
        <v>67</v>
      </c>
      <c r="C13" s="18" t="s">
        <v>68</v>
      </c>
      <c r="D13" s="19">
        <v>30000</v>
      </c>
      <c r="E13" s="18" t="s">
        <v>40</v>
      </c>
      <c r="F13" s="19">
        <v>30000</v>
      </c>
    </row>
    <row r="14" spans="1:6" x14ac:dyDescent="0.2">
      <c r="A14" s="18" t="s">
        <v>69</v>
      </c>
      <c r="B14" s="18" t="s">
        <v>70</v>
      </c>
      <c r="C14" s="18" t="s">
        <v>35</v>
      </c>
      <c r="D14" s="19">
        <v>30000</v>
      </c>
      <c r="E14" s="18" t="s">
        <v>71</v>
      </c>
      <c r="F14" s="19">
        <v>30000</v>
      </c>
    </row>
    <row r="15" spans="1:6" x14ac:dyDescent="0.2">
      <c r="A15" s="18" t="s">
        <v>72</v>
      </c>
      <c r="B15" s="18" t="s">
        <v>73</v>
      </c>
      <c r="C15" s="18" t="s">
        <v>74</v>
      </c>
      <c r="D15" s="19">
        <v>9000</v>
      </c>
      <c r="E15" s="18" t="s">
        <v>40</v>
      </c>
      <c r="F15" s="19">
        <v>9000</v>
      </c>
    </row>
    <row r="16" spans="1:6" x14ac:dyDescent="0.2">
      <c r="A16" s="18" t="s">
        <v>75</v>
      </c>
      <c r="B16" s="18" t="s">
        <v>76</v>
      </c>
      <c r="C16" s="18" t="s">
        <v>77</v>
      </c>
      <c r="D16" s="19">
        <v>5000</v>
      </c>
      <c r="E16" s="18" t="s">
        <v>56</v>
      </c>
      <c r="F16" s="19">
        <v>5000</v>
      </c>
    </row>
    <row r="17" spans="1:6" x14ac:dyDescent="0.2">
      <c r="A17" s="18" t="s">
        <v>78</v>
      </c>
      <c r="B17" s="18" t="s">
        <v>55</v>
      </c>
      <c r="C17" s="18" t="s">
        <v>35</v>
      </c>
      <c r="D17" s="19">
        <v>25000</v>
      </c>
      <c r="E17" s="18" t="s">
        <v>56</v>
      </c>
      <c r="F17" s="19">
        <v>25000</v>
      </c>
    </row>
    <row r="18" spans="1:6" x14ac:dyDescent="0.2">
      <c r="A18" s="18" t="s">
        <v>79</v>
      </c>
      <c r="B18" s="18" t="s">
        <v>80</v>
      </c>
      <c r="C18" s="18" t="s">
        <v>81</v>
      </c>
      <c r="D18" s="19">
        <v>12000</v>
      </c>
      <c r="E18" s="18" t="s">
        <v>40</v>
      </c>
      <c r="F18" s="19">
        <v>12000</v>
      </c>
    </row>
    <row r="19" spans="1:6" x14ac:dyDescent="0.2">
      <c r="A19" s="18" t="s">
        <v>82</v>
      </c>
      <c r="B19" s="18" t="s">
        <v>83</v>
      </c>
      <c r="C19" s="18" t="s">
        <v>84</v>
      </c>
      <c r="D19" s="19">
        <v>6000</v>
      </c>
      <c r="E19" s="18" t="s">
        <v>40</v>
      </c>
      <c r="F19" s="19">
        <v>6000</v>
      </c>
    </row>
    <row r="20" spans="1:6" x14ac:dyDescent="0.2">
      <c r="A20" s="18" t="s">
        <v>85</v>
      </c>
      <c r="B20" s="18" t="s">
        <v>86</v>
      </c>
      <c r="C20" s="18" t="s">
        <v>74</v>
      </c>
      <c r="D20" s="19">
        <v>7000</v>
      </c>
      <c r="E20" s="18" t="s">
        <v>40</v>
      </c>
      <c r="F20" s="19">
        <v>7000</v>
      </c>
    </row>
    <row r="21" spans="1:6" x14ac:dyDescent="0.2">
      <c r="A21" s="18" t="s">
        <v>87</v>
      </c>
      <c r="B21" s="18" t="s">
        <v>42</v>
      </c>
      <c r="C21" s="18" t="s">
        <v>39</v>
      </c>
      <c r="D21" s="19">
        <v>70000</v>
      </c>
      <c r="E21" s="18" t="s">
        <v>43</v>
      </c>
      <c r="F21" s="19">
        <v>70000</v>
      </c>
    </row>
    <row r="22" spans="1:6" x14ac:dyDescent="0.2">
      <c r="A22" s="18" t="s">
        <v>88</v>
      </c>
      <c r="B22" s="18" t="s">
        <v>51</v>
      </c>
      <c r="C22" s="18" t="s">
        <v>52</v>
      </c>
      <c r="D22" s="19">
        <v>90000</v>
      </c>
      <c r="E22" s="18" t="s">
        <v>46</v>
      </c>
      <c r="F22" s="19">
        <v>90000</v>
      </c>
    </row>
    <row r="23" spans="1:6" x14ac:dyDescent="0.2">
      <c r="A23" s="18" t="s">
        <v>88</v>
      </c>
      <c r="B23" s="18" t="s">
        <v>47</v>
      </c>
      <c r="C23" s="18" t="s">
        <v>48</v>
      </c>
      <c r="D23" s="19">
        <v>60000</v>
      </c>
      <c r="E23" s="18" t="s">
        <v>49</v>
      </c>
      <c r="F23" s="19">
        <v>60000</v>
      </c>
    </row>
    <row r="24" spans="1:6" x14ac:dyDescent="0.2">
      <c r="A24" s="18" t="s">
        <v>89</v>
      </c>
      <c r="B24" s="18" t="s">
        <v>90</v>
      </c>
      <c r="C24" s="18" t="s">
        <v>74</v>
      </c>
      <c r="D24" s="19">
        <v>5000</v>
      </c>
      <c r="E24" s="18" t="s">
        <v>91</v>
      </c>
      <c r="F24" s="19">
        <v>5000</v>
      </c>
    </row>
    <row r="25" spans="1:6" x14ac:dyDescent="0.2">
      <c r="A25" s="18" t="s">
        <v>92</v>
      </c>
      <c r="B25" s="18" t="s">
        <v>93</v>
      </c>
      <c r="C25" s="18" t="s">
        <v>94</v>
      </c>
      <c r="D25" s="19">
        <v>18000</v>
      </c>
      <c r="E25" s="18" t="s">
        <v>95</v>
      </c>
      <c r="F25" s="19">
        <v>18000</v>
      </c>
    </row>
    <row r="26" spans="1:6" x14ac:dyDescent="0.2">
      <c r="A26" s="18" t="s">
        <v>92</v>
      </c>
      <c r="B26" s="18" t="s">
        <v>96</v>
      </c>
      <c r="C26" s="18" t="s">
        <v>97</v>
      </c>
      <c r="D26" s="19">
        <v>12060</v>
      </c>
      <c r="E26" s="18" t="s">
        <v>98</v>
      </c>
      <c r="F26" s="19">
        <v>12060</v>
      </c>
    </row>
  </sheetData>
  <sheetProtection algorithmName="SHA-512" hashValue="zBEGLukRTJmcDmp8QLN2wis0fqYBYOMgiRAVGQogfNbFKVh1AuOEuWmzNmq+NTLbEEkf2++WAnirzrO6hYmfdA==" saltValue="YmPcYI+ua6OXzIs/QIo9Yg==" spinCount="100000" sheet="1" objects="1" scenarios="1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rightToLeft="1" workbookViewId="0">
      <pane ySplit="1" topLeftCell="A2" activePane="bottomLeft" state="frozen"/>
      <selection pane="bottomLeft" activeCell="D6" sqref="D6"/>
    </sheetView>
  </sheetViews>
  <sheetFormatPr defaultRowHeight="14.25" x14ac:dyDescent="0.2"/>
  <cols>
    <col min="1" max="1" width="28" customWidth="1"/>
    <col min="2" max="3" width="18" customWidth="1"/>
  </cols>
  <sheetData>
    <row r="1" spans="1:3" ht="23.25" x14ac:dyDescent="0.2">
      <c r="A1" s="26" t="s">
        <v>99</v>
      </c>
      <c r="B1" s="26"/>
      <c r="C1" s="26"/>
    </row>
    <row r="2" spans="1:3" ht="20.25" x14ac:dyDescent="0.2">
      <c r="A2" s="12" t="s">
        <v>10</v>
      </c>
      <c r="B2" s="12">
        <v>2024</v>
      </c>
      <c r="C2" s="12">
        <v>2025</v>
      </c>
    </row>
    <row r="3" spans="1:3" ht="20.25" x14ac:dyDescent="0.2">
      <c r="A3" s="13" t="s">
        <v>100</v>
      </c>
      <c r="B3" s="22">
        <v>420000</v>
      </c>
      <c r="C3" s="22">
        <v>510000</v>
      </c>
    </row>
    <row r="4" spans="1:3" ht="20.25" x14ac:dyDescent="0.2">
      <c r="A4" s="13" t="s">
        <v>101</v>
      </c>
      <c r="B4" s="22">
        <v>294000</v>
      </c>
      <c r="C4" s="22">
        <v>341700</v>
      </c>
    </row>
    <row r="5" spans="1:3" ht="20.25" x14ac:dyDescent="0.2">
      <c r="A5" s="23" t="s">
        <v>102</v>
      </c>
      <c r="B5" s="24">
        <v>126000</v>
      </c>
      <c r="C5" s="24">
        <v>168300</v>
      </c>
    </row>
    <row r="6" spans="1:3" ht="20.25" x14ac:dyDescent="0.2">
      <c r="A6" s="13" t="s">
        <v>103</v>
      </c>
      <c r="B6" s="22">
        <v>84000</v>
      </c>
      <c r="C6" s="22">
        <v>102000</v>
      </c>
    </row>
    <row r="7" spans="1:3" ht="20.25" x14ac:dyDescent="0.2">
      <c r="A7" s="23" t="s">
        <v>104</v>
      </c>
      <c r="B7" s="24">
        <v>42000</v>
      </c>
      <c r="C7" s="24">
        <v>66300</v>
      </c>
    </row>
    <row r="8" spans="1:3" ht="20.25" x14ac:dyDescent="0.2">
      <c r="A8" s="13" t="s">
        <v>105</v>
      </c>
      <c r="B8" s="22">
        <v>6000</v>
      </c>
      <c r="C8" s="22">
        <v>6000</v>
      </c>
    </row>
    <row r="9" spans="1:3" ht="20.25" x14ac:dyDescent="0.2">
      <c r="A9" s="23" t="s">
        <v>106</v>
      </c>
      <c r="B9" s="24">
        <v>36000</v>
      </c>
      <c r="C9" s="24">
        <v>60300</v>
      </c>
    </row>
    <row r="10" spans="1:3" ht="20.25" x14ac:dyDescent="0.2">
      <c r="A10" s="13" t="s">
        <v>107</v>
      </c>
      <c r="B10" s="22">
        <v>7200</v>
      </c>
      <c r="C10" s="22">
        <v>12060</v>
      </c>
    </row>
    <row r="11" spans="1:3" ht="20.25" x14ac:dyDescent="0.2">
      <c r="A11" s="23" t="s">
        <v>108</v>
      </c>
      <c r="B11" s="24">
        <v>28800</v>
      </c>
      <c r="C11" s="24">
        <v>48240</v>
      </c>
    </row>
  </sheetData>
  <sheetProtection algorithmName="SHA-512" hashValue="FsR6mvi6hv2ytFE5M58ebKmzzZeRbRxsuL60OEPnR6EPxkwFfQBk2pGMVieaeU9CH2ZaVO7Njj89BDxGNOjkcg==" saltValue="3S4HArHUqGGYCn63Y8FyUw==" spinCount="100000" sheet="1" objects="1" scenarios="1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rightToLeft="1" workbookViewId="0">
      <pane ySplit="1" topLeftCell="A2" activePane="bottomLeft" state="frozen"/>
      <selection pane="bottomLeft" activeCell="D6" sqref="D6"/>
    </sheetView>
  </sheetViews>
  <sheetFormatPr defaultRowHeight="14.25" x14ac:dyDescent="0.2"/>
  <cols>
    <col min="1" max="1" width="34" customWidth="1"/>
    <col min="2" max="3" width="18" customWidth="1"/>
  </cols>
  <sheetData>
    <row r="1" spans="1:3" ht="23.25" x14ac:dyDescent="0.2">
      <c r="A1" s="25" t="s">
        <v>109</v>
      </c>
      <c r="B1" s="25"/>
      <c r="C1" s="25"/>
    </row>
    <row r="2" spans="1:3" ht="18" x14ac:dyDescent="0.2">
      <c r="A2" s="27" t="s">
        <v>10</v>
      </c>
      <c r="B2" s="27">
        <v>2024</v>
      </c>
      <c r="C2" s="27">
        <v>2025</v>
      </c>
    </row>
    <row r="3" spans="1:3" ht="18" x14ac:dyDescent="0.2">
      <c r="A3" s="28" t="s">
        <v>110</v>
      </c>
      <c r="B3" s="20">
        <v>36000</v>
      </c>
      <c r="C3" s="20">
        <v>52000</v>
      </c>
    </row>
    <row r="4" spans="1:3" ht="18" x14ac:dyDescent="0.2">
      <c r="A4" s="28" t="s">
        <v>111</v>
      </c>
      <c r="B4" s="20">
        <v>54000</v>
      </c>
      <c r="C4" s="20">
        <v>68000</v>
      </c>
    </row>
    <row r="5" spans="1:3" ht="18" x14ac:dyDescent="0.2">
      <c r="A5" s="28" t="s">
        <v>112</v>
      </c>
      <c r="B5" s="20">
        <v>90000</v>
      </c>
      <c r="C5" s="20">
        <v>108000</v>
      </c>
    </row>
    <row r="6" spans="1:3" ht="18" x14ac:dyDescent="0.2">
      <c r="A6" s="28" t="s">
        <v>113</v>
      </c>
      <c r="B6" s="20">
        <v>6000</v>
      </c>
      <c r="C6" s="20">
        <v>8000</v>
      </c>
    </row>
    <row r="7" spans="1:3" ht="18" x14ac:dyDescent="0.2">
      <c r="A7" s="28" t="s">
        <v>114</v>
      </c>
      <c r="B7" s="20">
        <v>150000</v>
      </c>
      <c r="C7" s="20">
        <v>162000</v>
      </c>
    </row>
    <row r="8" spans="1:3" ht="18" x14ac:dyDescent="0.2">
      <c r="A8" s="29" t="s">
        <v>115</v>
      </c>
      <c r="B8" s="21">
        <v>336000</v>
      </c>
      <c r="C8" s="21">
        <v>398000</v>
      </c>
    </row>
    <row r="9" spans="1:3" ht="18" x14ac:dyDescent="0.2">
      <c r="A9" s="28" t="s">
        <v>116</v>
      </c>
      <c r="B9" s="20">
        <v>60000</v>
      </c>
      <c r="C9" s="20">
        <v>69000</v>
      </c>
    </row>
    <row r="10" spans="1:3" ht="18" x14ac:dyDescent="0.2">
      <c r="A10" s="28" t="s">
        <v>117</v>
      </c>
      <c r="B10" s="20">
        <v>18000</v>
      </c>
      <c r="C10" s="20">
        <v>21000</v>
      </c>
    </row>
    <row r="11" spans="1:3" ht="18" x14ac:dyDescent="0.2">
      <c r="A11" s="28" t="s">
        <v>118</v>
      </c>
      <c r="B11" s="20">
        <v>72000</v>
      </c>
      <c r="C11" s="20">
        <v>60000</v>
      </c>
    </row>
    <row r="12" spans="1:3" ht="18" x14ac:dyDescent="0.2">
      <c r="A12" s="29" t="s">
        <v>119</v>
      </c>
      <c r="B12" s="21">
        <v>150000</v>
      </c>
      <c r="C12" s="21">
        <v>150000</v>
      </c>
    </row>
    <row r="13" spans="1:3" ht="18" x14ac:dyDescent="0.2">
      <c r="A13" s="28" t="s">
        <v>23</v>
      </c>
      <c r="B13" s="20">
        <v>120000</v>
      </c>
      <c r="C13" s="20">
        <v>120000</v>
      </c>
    </row>
    <row r="14" spans="1:3" ht="18" x14ac:dyDescent="0.2">
      <c r="A14" s="28" t="s">
        <v>120</v>
      </c>
      <c r="B14" s="20">
        <v>66000</v>
      </c>
      <c r="C14" s="20">
        <v>128000</v>
      </c>
    </row>
    <row r="15" spans="1:3" ht="18" x14ac:dyDescent="0.2">
      <c r="A15" s="29" t="s">
        <v>121</v>
      </c>
      <c r="B15" s="21">
        <v>186000</v>
      </c>
      <c r="C15" s="21">
        <v>248000</v>
      </c>
    </row>
    <row r="16" spans="1:3" ht="18" x14ac:dyDescent="0.2">
      <c r="A16" s="29" t="s">
        <v>122</v>
      </c>
      <c r="B16" s="21">
        <v>336000</v>
      </c>
      <c r="C16" s="21">
        <v>398000</v>
      </c>
    </row>
  </sheetData>
  <sheetProtection algorithmName="SHA-512" hashValue="IExZVpJTrgBl7Wl2kWa3ZfZ9Yf0th3jm2a3abvUSHUsbm98g07Yo6U7U3tYtaHxZn8sH9nMOmqHkNGtHzuEblA==" saltValue="jP6sX3xcDnhX6T8SGUW5wA==" spinCount="100000" sheet="1" objects="1" scenarios="1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rightToLeft="1" workbookViewId="0">
      <pane ySplit="1" topLeftCell="A2" activePane="bottomLeft" state="frozen"/>
      <selection pane="bottomLeft" activeCell="F8" sqref="F8"/>
    </sheetView>
  </sheetViews>
  <sheetFormatPr defaultRowHeight="14.25" x14ac:dyDescent="0.2"/>
  <cols>
    <col min="1" max="1" width="38" customWidth="1"/>
    <col min="2" max="3" width="18" customWidth="1"/>
  </cols>
  <sheetData>
    <row r="1" spans="1:3" ht="23.25" x14ac:dyDescent="0.2">
      <c r="A1" s="26" t="s">
        <v>123</v>
      </c>
      <c r="B1" s="26"/>
      <c r="C1" s="26"/>
    </row>
    <row r="2" spans="1:3" ht="23.25" x14ac:dyDescent="0.2">
      <c r="A2" s="30" t="s">
        <v>10</v>
      </c>
      <c r="B2" s="30">
        <v>2024</v>
      </c>
      <c r="C2" s="30">
        <v>2025</v>
      </c>
    </row>
    <row r="3" spans="1:3" ht="23.25" x14ac:dyDescent="0.2">
      <c r="A3" s="31" t="s">
        <v>124</v>
      </c>
      <c r="B3" s="32">
        <v>54000</v>
      </c>
      <c r="C3" s="32">
        <v>76000</v>
      </c>
    </row>
    <row r="4" spans="1:3" ht="23.25" x14ac:dyDescent="0.2">
      <c r="A4" s="31" t="s">
        <v>125</v>
      </c>
      <c r="B4" s="32">
        <v>-36000</v>
      </c>
      <c r="C4" s="32">
        <v>-30000</v>
      </c>
    </row>
    <row r="5" spans="1:3" ht="23.25" x14ac:dyDescent="0.2">
      <c r="A5" s="31" t="s">
        <v>126</v>
      </c>
      <c r="B5" s="32">
        <v>-18000</v>
      </c>
      <c r="C5" s="32">
        <v>-30000</v>
      </c>
    </row>
    <row r="6" spans="1:3" ht="23.25" x14ac:dyDescent="0.2">
      <c r="A6" s="33" t="s">
        <v>127</v>
      </c>
      <c r="B6" s="34">
        <v>0</v>
      </c>
      <c r="C6" s="34">
        <v>16000</v>
      </c>
    </row>
    <row r="7" spans="1:3" ht="23.25" x14ac:dyDescent="0.2">
      <c r="A7" s="31" t="s">
        <v>128</v>
      </c>
      <c r="B7" s="32">
        <v>36000</v>
      </c>
      <c r="C7" s="32">
        <v>36000</v>
      </c>
    </row>
    <row r="8" spans="1:3" ht="23.25" x14ac:dyDescent="0.2">
      <c r="A8" s="31" t="s">
        <v>129</v>
      </c>
      <c r="B8" s="32">
        <v>36000</v>
      </c>
      <c r="C8" s="32">
        <v>52000</v>
      </c>
    </row>
    <row r="9" spans="1:3" ht="15" x14ac:dyDescent="0.2">
      <c r="A9" s="3"/>
      <c r="B9" s="3"/>
      <c r="C9" s="3"/>
    </row>
  </sheetData>
  <sheetProtection algorithmName="SHA-512" hashValue="HTseew3CpD6Q9nvlV0cxIZBM97+ugzpdkWc+5MzyVXukuVq7+vJa04IW8Dj64Tl6t07kXdgqv3doAPO6EREp/g==" saltValue="vNAJfed7uaQ1tBscFj/qxQ==" spinCount="100000" sheet="1" objects="1" scenarios="1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rightToLeft="1" workbookViewId="0">
      <pane ySplit="1" topLeftCell="A2" activePane="bottomLeft" state="frozen"/>
      <selection pane="bottomLeft" activeCell="C14" sqref="C14"/>
    </sheetView>
  </sheetViews>
  <sheetFormatPr defaultRowHeight="14.25" x14ac:dyDescent="0.2"/>
  <cols>
    <col min="1" max="1" width="38" customWidth="1"/>
    <col min="2" max="3" width="18" customWidth="1"/>
  </cols>
  <sheetData>
    <row r="1" spans="1:3" ht="23.25" x14ac:dyDescent="0.2">
      <c r="A1" s="26" t="s">
        <v>130</v>
      </c>
      <c r="B1" s="26"/>
      <c r="C1" s="26"/>
    </row>
    <row r="2" spans="1:3" ht="18" x14ac:dyDescent="0.2">
      <c r="A2" s="11" t="s">
        <v>10</v>
      </c>
      <c r="B2" s="11">
        <v>2024</v>
      </c>
      <c r="C2" s="11">
        <v>2025</v>
      </c>
    </row>
    <row r="3" spans="1:3" ht="18" x14ac:dyDescent="0.2">
      <c r="A3" s="28" t="s">
        <v>131</v>
      </c>
      <c r="B3" s="20">
        <v>120000</v>
      </c>
      <c r="C3" s="20">
        <v>120000</v>
      </c>
    </row>
    <row r="4" spans="1:3" ht="18" x14ac:dyDescent="0.2">
      <c r="A4" s="28" t="s">
        <v>108</v>
      </c>
      <c r="B4" s="20">
        <v>28800</v>
      </c>
      <c r="C4" s="20">
        <v>48240</v>
      </c>
    </row>
    <row r="5" spans="1:3" ht="18" x14ac:dyDescent="0.2">
      <c r="A5" s="28" t="s">
        <v>132</v>
      </c>
      <c r="B5" s="20">
        <v>0</v>
      </c>
      <c r="C5" s="20">
        <v>0</v>
      </c>
    </row>
    <row r="6" spans="1:3" ht="18" x14ac:dyDescent="0.2">
      <c r="A6" s="29" t="s">
        <v>133</v>
      </c>
      <c r="B6" s="21">
        <v>120000</v>
      </c>
      <c r="C6" s="21">
        <v>120000</v>
      </c>
    </row>
    <row r="7" spans="1:3" ht="18" x14ac:dyDescent="0.2">
      <c r="A7" s="28" t="s">
        <v>134</v>
      </c>
      <c r="B7" s="20">
        <v>66000</v>
      </c>
      <c r="C7" s="20">
        <v>128000</v>
      </c>
    </row>
    <row r="8" spans="1:3" ht="18" x14ac:dyDescent="0.2">
      <c r="A8" s="29" t="s">
        <v>121</v>
      </c>
      <c r="B8" s="21">
        <v>186000</v>
      </c>
      <c r="C8" s="21">
        <v>248000</v>
      </c>
    </row>
  </sheetData>
  <sheetProtection algorithmName="SHA-512" hashValue="Pn3shdEZcoRyNpLjJ9n4Xw1raWytlrlMZee61jEAQQ/IIp6GGkozD156aU6mjd8tr+Zn6bh7UQ4mS3n+2GatCw==" saltValue="t+E27llMq/y9TKEIVlqDKg==" spinCount="100000" sheet="1" objects="1" scenarios="1"/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rightToLeft="1" workbookViewId="0">
      <pane ySplit="1" topLeftCell="A2" activePane="bottomLeft" state="frozen"/>
      <selection pane="bottomLeft" activeCell="D10" sqref="D10"/>
    </sheetView>
  </sheetViews>
  <sheetFormatPr defaultRowHeight="14.25" x14ac:dyDescent="0.2"/>
  <cols>
    <col min="1" max="1" width="21" bestFit="1" customWidth="1"/>
    <col min="2" max="3" width="10.25" bestFit="1" customWidth="1"/>
    <col min="4" max="4" width="56.625" bestFit="1" customWidth="1"/>
  </cols>
  <sheetData>
    <row r="1" spans="1:4" ht="20.25" x14ac:dyDescent="0.2">
      <c r="A1" s="12" t="s">
        <v>135</v>
      </c>
      <c r="B1" s="12" t="s">
        <v>136</v>
      </c>
      <c r="C1" s="12" t="s">
        <v>137</v>
      </c>
      <c r="D1" s="12" t="s">
        <v>138</v>
      </c>
    </row>
    <row r="2" spans="1:4" ht="20.25" x14ac:dyDescent="0.2">
      <c r="A2" s="14" t="s">
        <v>139</v>
      </c>
      <c r="B2" s="35">
        <v>2.384615384615385</v>
      </c>
      <c r="C2" s="35">
        <v>2.6222222222222218</v>
      </c>
      <c r="D2" s="14" t="s">
        <v>140</v>
      </c>
    </row>
    <row r="3" spans="1:4" ht="20.25" x14ac:dyDescent="0.2">
      <c r="A3" s="14" t="s">
        <v>141</v>
      </c>
      <c r="B3" s="35">
        <v>1.153846153846154</v>
      </c>
      <c r="C3" s="35">
        <v>1.333333333333333</v>
      </c>
      <c r="D3" s="14" t="s">
        <v>142</v>
      </c>
    </row>
    <row r="4" spans="1:4" ht="20.25" x14ac:dyDescent="0.2">
      <c r="A4" s="14" t="s">
        <v>143</v>
      </c>
      <c r="B4" s="36">
        <v>0.3</v>
      </c>
      <c r="C4" s="36">
        <v>0.33</v>
      </c>
      <c r="D4" s="14" t="s">
        <v>144</v>
      </c>
    </row>
    <row r="5" spans="1:4" ht="20.25" x14ac:dyDescent="0.2">
      <c r="A5" s="14" t="s">
        <v>145</v>
      </c>
      <c r="B5" s="36">
        <v>6.8571428571428575E-2</v>
      </c>
      <c r="C5" s="36">
        <v>9.4588235294117654E-2</v>
      </c>
      <c r="D5" s="14" t="s">
        <v>146</v>
      </c>
    </row>
    <row r="6" spans="1:4" ht="20.25" x14ac:dyDescent="0.2">
      <c r="A6" s="14" t="s">
        <v>147</v>
      </c>
      <c r="B6" s="36">
        <v>8.5714285714285715E-2</v>
      </c>
      <c r="C6" s="36">
        <v>0.1212060301507538</v>
      </c>
      <c r="D6" s="14" t="s">
        <v>148</v>
      </c>
    </row>
    <row r="7" spans="1:4" ht="20.25" x14ac:dyDescent="0.2">
      <c r="A7" s="14" t="s">
        <v>149</v>
      </c>
      <c r="B7" s="36">
        <v>0.15483870967741939</v>
      </c>
      <c r="C7" s="36">
        <v>0.19451612903225809</v>
      </c>
      <c r="D7" s="14" t="s">
        <v>150</v>
      </c>
    </row>
    <row r="8" spans="1:4" ht="20.25" x14ac:dyDescent="0.2">
      <c r="A8" s="14" t="s">
        <v>151</v>
      </c>
      <c r="B8" s="36">
        <v>0.44642857142857151</v>
      </c>
      <c r="C8" s="36">
        <v>0.37688442211055279</v>
      </c>
      <c r="D8" s="14" t="s">
        <v>152</v>
      </c>
    </row>
    <row r="9" spans="1:4" ht="20.25" x14ac:dyDescent="0.2">
      <c r="A9" s="14" t="s">
        <v>153</v>
      </c>
      <c r="B9" s="36">
        <v>0.80645161290322576</v>
      </c>
      <c r="C9" s="36">
        <v>0.60483870967741937</v>
      </c>
      <c r="D9" s="14" t="s">
        <v>154</v>
      </c>
    </row>
  </sheetData>
  <sheetProtection algorithmName="SHA-512" hashValue="WkuYpwhWwvcJHqBf3ggoCSo/QYa0K91mpCH27+RtsPqgtEIo3cMpnhyPupdIdChN5ozitdEjqpJZ3BGzbUX5nw==" saltValue="J37kmvDD/9rbzq1lTvjylg==" spinCount="100000" sheet="1" objects="1" scenarios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rightToLeft="1" tabSelected="1" workbookViewId="0">
      <pane ySplit="1" topLeftCell="A2" activePane="bottomLeft" state="frozen"/>
      <selection pane="bottomLeft" activeCell="H35" sqref="H35"/>
    </sheetView>
  </sheetViews>
  <sheetFormatPr defaultRowHeight="14.25" x14ac:dyDescent="0.2"/>
  <cols>
    <col min="1" max="1" width="24" customWidth="1"/>
    <col min="2" max="8" width="16" customWidth="1"/>
  </cols>
  <sheetData>
    <row r="1" spans="1:8" x14ac:dyDescent="0.2">
      <c r="A1" s="7" t="s">
        <v>155</v>
      </c>
      <c r="B1" s="5"/>
      <c r="C1" s="5"/>
      <c r="D1" s="5"/>
      <c r="E1" s="5"/>
      <c r="F1" s="5"/>
      <c r="G1" s="5"/>
      <c r="H1" s="5"/>
    </row>
    <row r="2" spans="1:8" x14ac:dyDescent="0.2">
      <c r="A2" s="5"/>
      <c r="B2" s="5"/>
      <c r="C2" s="5"/>
      <c r="D2" s="5"/>
      <c r="E2" s="5"/>
      <c r="F2" s="5"/>
      <c r="G2" s="5"/>
      <c r="H2" s="5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39" t="s">
        <v>156</v>
      </c>
      <c r="B4" s="40"/>
      <c r="C4" s="39" t="s">
        <v>157</v>
      </c>
      <c r="D4" s="40"/>
      <c r="E4" s="39" t="s">
        <v>158</v>
      </c>
      <c r="F4" s="40"/>
      <c r="G4" s="39" t="s">
        <v>159</v>
      </c>
      <c r="H4" s="40"/>
    </row>
    <row r="5" spans="1:8" x14ac:dyDescent="0.2">
      <c r="A5" s="41">
        <v>510000</v>
      </c>
      <c r="B5" s="40"/>
      <c r="C5" s="41">
        <v>48240</v>
      </c>
      <c r="D5" s="40"/>
      <c r="E5" s="41">
        <v>398000</v>
      </c>
      <c r="F5" s="40"/>
      <c r="G5" s="41">
        <v>76000</v>
      </c>
      <c r="H5" s="40"/>
    </row>
    <row r="6" spans="1:8" x14ac:dyDescent="0.2">
      <c r="A6" s="40"/>
      <c r="B6" s="40"/>
      <c r="C6" s="40"/>
      <c r="D6" s="40"/>
      <c r="E6" s="40"/>
      <c r="F6" s="40"/>
      <c r="G6" s="40"/>
      <c r="H6" s="40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ht="18" x14ac:dyDescent="0.2">
      <c r="A9" s="37" t="s">
        <v>135</v>
      </c>
      <c r="B9" s="37">
        <v>2024</v>
      </c>
      <c r="C9" s="37">
        <v>2025</v>
      </c>
      <c r="D9" s="1"/>
      <c r="E9" s="1"/>
      <c r="F9" s="1"/>
      <c r="G9" s="1"/>
      <c r="H9" s="1"/>
    </row>
    <row r="10" spans="1:8" ht="18" x14ac:dyDescent="0.2">
      <c r="A10" s="38" t="s">
        <v>160</v>
      </c>
      <c r="B10" s="28">
        <v>420000</v>
      </c>
      <c r="C10" s="28">
        <v>510000</v>
      </c>
      <c r="D10" s="1"/>
      <c r="E10" s="1"/>
      <c r="F10" s="1"/>
      <c r="G10" s="1"/>
      <c r="H10" s="1"/>
    </row>
    <row r="11" spans="1:8" ht="18" x14ac:dyDescent="0.2">
      <c r="A11" s="38" t="s">
        <v>108</v>
      </c>
      <c r="B11" s="28">
        <v>28800</v>
      </c>
      <c r="C11" s="28">
        <v>48240</v>
      </c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ht="18" x14ac:dyDescent="0.2">
      <c r="A28" s="38" t="s">
        <v>161</v>
      </c>
      <c r="B28" s="38">
        <v>2024</v>
      </c>
      <c r="C28" s="38">
        <v>2025</v>
      </c>
      <c r="D28" s="1"/>
      <c r="E28" s="1"/>
      <c r="F28" s="1"/>
      <c r="G28" s="1"/>
      <c r="H28" s="1"/>
    </row>
    <row r="29" spans="1:8" ht="18" x14ac:dyDescent="0.2">
      <c r="A29" s="38" t="s">
        <v>162</v>
      </c>
      <c r="B29" s="28">
        <v>54000</v>
      </c>
      <c r="C29" s="28">
        <v>76000</v>
      </c>
      <c r="D29" s="1"/>
      <c r="E29" s="1"/>
      <c r="F29" s="1"/>
      <c r="G29" s="1"/>
      <c r="H29" s="1"/>
    </row>
    <row r="30" spans="1:8" ht="18" x14ac:dyDescent="0.2">
      <c r="A30" s="38" t="s">
        <v>163</v>
      </c>
      <c r="B30" s="28">
        <v>-36000</v>
      </c>
      <c r="C30" s="28">
        <v>-30000</v>
      </c>
      <c r="D30" s="1"/>
      <c r="E30" s="1"/>
      <c r="F30" s="1"/>
      <c r="G30" s="1"/>
      <c r="H30" s="1"/>
    </row>
    <row r="31" spans="1:8" ht="18" x14ac:dyDescent="0.2">
      <c r="A31" s="38" t="s">
        <v>164</v>
      </c>
      <c r="B31" s="28">
        <v>-18000</v>
      </c>
      <c r="C31" s="28">
        <v>-30000</v>
      </c>
      <c r="D31" s="1"/>
      <c r="E31" s="1"/>
      <c r="F31" s="1"/>
      <c r="G31" s="1"/>
      <c r="H31" s="1"/>
    </row>
  </sheetData>
  <sheetProtection algorithmName="SHA-512" hashValue="uiWYSfkHJ8atycTxvTyT0gIxoZSClsMGeMe2gG+P0UKn/M89nBUIch2Qbv5qRJ+7LYieowC0ELbOrFe1dG3D7A==" saltValue="QbNO5s/e6cVp9uJ+VtOA7g==" spinCount="100000" sheet="1" objects="1" scenarios="1"/>
  <mergeCells count="9">
    <mergeCell ref="A1:H2"/>
    <mergeCell ref="C4:D4"/>
    <mergeCell ref="A4:B4"/>
    <mergeCell ref="G4:H4"/>
    <mergeCell ref="E4:F4"/>
    <mergeCell ref="C5:D6"/>
    <mergeCell ref="A5:B6"/>
    <mergeCell ref="G5:H6"/>
    <mergeCell ref="E5:F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9</vt:i4>
      </vt:variant>
    </vt:vector>
  </HeadingPairs>
  <TitlesOfParts>
    <vt:vector size="9" baseType="lpstr">
      <vt:lpstr>غلاف</vt:lpstr>
      <vt:lpstr>بيانات الشركة</vt:lpstr>
      <vt:lpstr>القيود اليومية</vt:lpstr>
      <vt:lpstr>قائمة الدخل</vt:lpstr>
      <vt:lpstr>قائمة المركز المالي</vt:lpstr>
      <vt:lpstr>التدفقات النقدية</vt:lpstr>
      <vt:lpstr>التغيرات في حقوق الملكية</vt:lpstr>
      <vt:lpstr>التحليل المالي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Yousof Abu Shammala</cp:lastModifiedBy>
  <dcterms:created xsi:type="dcterms:W3CDTF">2026-08-13T07:53:22Z</dcterms:created>
  <dcterms:modified xsi:type="dcterms:W3CDTF">2026-08-13T08:16:13Z</dcterms:modified>
</cp:coreProperties>
</file>